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Issue #039 -Reporte de Horas PGGA\"/>
    </mc:Choice>
  </mc:AlternateContent>
  <xr:revisionPtr revIDLastSave="0" documentId="13_ncr:1_{EDC76C29-4150-4A14-BDDD-52783DBAE469}" xr6:coauthVersionLast="47" xr6:coauthVersionMax="47" xr10:uidLastSave="{00000000-0000-0000-0000-000000000000}"/>
  <bookViews>
    <workbookView xWindow="-120" yWindow="-120" windowWidth="29040" windowHeight="15720" tabRatio="751" xr2:uid="{00000000-000D-0000-FFFF-FFFF00000000}"/>
  </bookViews>
  <sheets>
    <sheet name="Formulario" sheetId="58" r:id="rId1"/>
  </sheets>
  <definedNames>
    <definedName name="_1wrn.²Ä1­Ó¤ë1_Ü20¤H." hidden="1">{#N/A,#N/A,FALSE,"²Ä1­Ó¤ë"}</definedName>
    <definedName name="_A11" hidden="1">{#N/A,#N/A,FALSE,"Umsatz 99";#N/A,#N/A,FALSE,"ER 99 "}</definedName>
    <definedName name="_c" hidden="1">{"Fiesta Facer Page",#N/A,FALSE,"Q_C_S";"Fiesta Main Page",#N/A,FALSE,"V_L";"Fiesta 95BP Struct",#N/A,FALSE,"StructBP";"Fiesta Post 95BP Struct",#N/A,FALSE,"AdjStructBP"}</definedName>
    <definedName name="_Regression_Int" hidden="1">1</definedName>
    <definedName name="Importadas_WL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NORM" hidden="1">"c1902"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38959.4338194444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Z_SCORE" hidden="1">"c1339"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58" l="1"/>
  <c r="K4" i="58"/>
  <c r="K13" i="58"/>
  <c r="G13" i="58" l="1"/>
  <c r="G12" i="58"/>
  <c r="G4" i="58"/>
  <c r="J1" i="58"/>
  <c r="G1" i="58"/>
  <c r="I5" i="58" l="1"/>
  <c r="I3" i="58"/>
  <c r="I8" i="58"/>
  <c r="I15" i="58"/>
  <c r="I9" i="58"/>
  <c r="I11" i="58"/>
  <c r="I6" i="58"/>
  <c r="I10" i="58"/>
  <c r="I7" i="58"/>
  <c r="I14" i="58"/>
  <c r="I16" i="58"/>
  <c r="I2" i="58"/>
  <c r="I1" i="58" l="1"/>
  <c r="I13" i="58"/>
  <c r="I4" i="58"/>
  <c r="I12" i="58" l="1"/>
  <c r="J7" i="58" l="1"/>
  <c r="J6" i="58"/>
  <c r="J15" i="58"/>
  <c r="J4" i="58"/>
  <c r="J8" i="58"/>
  <c r="J11" i="58"/>
  <c r="J5" i="58"/>
  <c r="J16" i="58"/>
  <c r="J3" i="58"/>
  <c r="J12" i="58"/>
  <c r="J10" i="58"/>
  <c r="J13" i="58"/>
  <c r="J9" i="58"/>
  <c r="J14" i="58"/>
  <c r="J2" i="58"/>
  <c r="L6" i="58" l="1"/>
  <c r="L7" i="58"/>
  <c r="L2" i="58"/>
  <c r="L15" i="58"/>
  <c r="L10" i="58"/>
  <c r="L12" i="58"/>
  <c r="L3" i="58"/>
  <c r="L11" i="58"/>
  <c r="L16" i="58"/>
  <c r="L5" i="58"/>
  <c r="L8" i="58"/>
  <c r="L9" i="58"/>
  <c r="L14" i="58"/>
  <c r="L13" i="58" l="1"/>
  <c r="L4" i="58"/>
  <c r="L1" i="58"/>
</calcChain>
</file>

<file path=xl/sharedStrings.xml><?xml version="1.0" encoding="utf-8"?>
<sst xmlns="http://schemas.openxmlformats.org/spreadsheetml/2006/main" count="66" uniqueCount="20">
  <si>
    <t>Ensayos y/o trabajos en fabrica</t>
  </si>
  <si>
    <t>Ingenieria</t>
  </si>
  <si>
    <t>Gestion de proyectos</t>
  </si>
  <si>
    <t>Ensayos y/o trabajos en sitio</t>
  </si>
  <si>
    <t>Fábrica</t>
  </si>
  <si>
    <t>Proyectista</t>
  </si>
  <si>
    <t>Ingenieria Protecciones</t>
  </si>
  <si>
    <t>Ingenieria Control</t>
  </si>
  <si>
    <t>Ingenieria Comunicaciones</t>
  </si>
  <si>
    <t>Lead Engineer</t>
  </si>
  <si>
    <t>FAT Protecciones</t>
  </si>
  <si>
    <t>FAT Control</t>
  </si>
  <si>
    <t>FAT Comunicaciones</t>
  </si>
  <si>
    <t>Servicios Protecciones</t>
  </si>
  <si>
    <t>Servicios Control</t>
  </si>
  <si>
    <t>Servicios Comunicaciones</t>
  </si>
  <si>
    <t>AC</t>
  </si>
  <si>
    <t>ERS</t>
  </si>
  <si>
    <t>Q200010</t>
  </si>
  <si>
    <r>
      <rPr>
        <b/>
        <sz val="10"/>
        <rFont val="Arial"/>
        <family val="2"/>
      </rPr>
      <t>Ultima rev. xx/xx/xx</t>
    </r>
    <r>
      <rPr>
        <sz val="10"/>
        <rFont val="Arial"/>
        <family val="2"/>
      </rPr>
      <t xml:space="preserve">
xx/xx/20xx.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</si>
</sst>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 &quot;$&quot;\ * #,##0.00_ ;_ &quot;$&quot;\ * \-#,##0.00_ ;_ &quot;$&quot;\ * &quot;-&quot;??_ ;_ @_ "/>
    <numFmt numFmtId="165" formatCode="_ * #,##0.00_ ;_ * \-#,##0.00_ ;_ * &quot;-&quot;??_ ;_ @_ 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59999389629810485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2">
    <xf numFmtId="0" fontId="0" fillId="0" borderId="0"/>
    <xf numFmtId="0" fontId="7" fillId="0" borderId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11" fillId="0" borderId="0"/>
    <xf numFmtId="0" fontId="5" fillId="0" borderId="0"/>
    <xf numFmtId="0" fontId="4" fillId="0" borderId="0"/>
    <xf numFmtId="0" fontId="7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1" fillId="0" borderId="0"/>
  </cellStyleXfs>
  <cellXfs count="15">
    <xf numFmtId="0" fontId="0" fillId="0" borderId="0" xfId="0" applyAlignment="1">
      <alignment vertical="top"/>
    </xf>
    <xf numFmtId="0" fontId="12" fillId="0" borderId="0" xfId="9" applyFont="1" applyAlignment="1">
      <alignment wrapText="1"/>
    </xf>
    <xf numFmtId="0" fontId="12" fillId="0" borderId="4" xfId="9" applyFont="1" applyBorder="1" applyAlignment="1">
      <alignment wrapText="1"/>
    </xf>
    <xf numFmtId="1" fontId="0" fillId="0" borderId="0" xfId="0" applyNumberFormat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" fontId="10" fillId="3" borderId="3" xfId="0" applyNumberFormat="1" applyFont="1" applyFill="1" applyBorder="1" applyAlignment="1">
      <alignment horizontal="center" vertical="center"/>
    </xf>
    <xf numFmtId="1" fontId="10" fillId="3" borderId="0" xfId="0" applyNumberFormat="1" applyFon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10" fillId="4" borderId="2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>
      <alignment horizontal="center" vertical="center"/>
    </xf>
    <xf numFmtId="1" fontId="10" fillId="4" borderId="3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Alignment="1">
      <alignment horizontal="center" vertical="center"/>
    </xf>
    <xf numFmtId="1" fontId="10" fillId="2" borderId="5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/>
    </xf>
  </cellXfs>
  <cellStyles count="22">
    <cellStyle name="Comma 2" xfId="3" xr:uid="{00000000-0005-0000-0000-000001000000}"/>
    <cellStyle name="Comma 3" xfId="14" xr:uid="{5EB6845A-6B30-4B90-8DC0-4EA0D5E57D1A}"/>
    <cellStyle name="Comma 4" xfId="18" xr:uid="{17337F1B-F6F2-4563-89FA-1C05798D001F}"/>
    <cellStyle name="Currency 2" xfId="15" xr:uid="{59380C04-EF85-4B94-9CDE-773267E17028}"/>
    <cellStyle name="Currency 3" xfId="19" xr:uid="{A63E7175-496D-4766-8E44-1D9494B90BEA}"/>
    <cellStyle name="Normal" xfId="0" builtinId="0"/>
    <cellStyle name="Normal 2" xfId="1" xr:uid="{00000000-0005-0000-0000-000005000000}"/>
    <cellStyle name="Normal 3" xfId="4" xr:uid="{00000000-0005-0000-0000-000006000000}"/>
    <cellStyle name="Normal 3 2" xfId="12" xr:uid="{00000000-0005-0000-0000-000007000000}"/>
    <cellStyle name="Normal 3 3" xfId="16" xr:uid="{4792D9BB-8851-48E6-9F8C-166F243C3447}"/>
    <cellStyle name="Normal 3 4" xfId="20" xr:uid="{A9647D1D-FBE9-4AF9-8A45-6945F1DCC83A}"/>
    <cellStyle name="Normal 4" xfId="5" xr:uid="{00000000-0005-0000-0000-000008000000}"/>
    <cellStyle name="Normal 4 2 2 2 3" xfId="21" xr:uid="{73A3011D-5762-4BBA-B96F-6F82F028C8DD}"/>
    <cellStyle name="Normal 5" xfId="7" xr:uid="{00000000-0005-0000-0000-000009000000}"/>
    <cellStyle name="Normal 6" xfId="10" xr:uid="{00000000-0005-0000-0000-00000A000000}"/>
    <cellStyle name="Normal 7" xfId="11" xr:uid="{00000000-0005-0000-0000-00000B000000}"/>
    <cellStyle name="Normal 8" xfId="13" xr:uid="{30D5F711-A1EE-4BCC-808F-F37571A4483D}"/>
    <cellStyle name="Normal 9" xfId="17" xr:uid="{6BE74AC0-7D3E-449E-83FB-22FE385E653F}"/>
    <cellStyle name="Normal_Sheet1" xfId="9" xr:uid="{00000000-0005-0000-0000-00000C000000}"/>
    <cellStyle name="Percent 2" xfId="2" xr:uid="{00000000-0005-0000-0000-00000D000000}"/>
    <cellStyle name="Percent 3" xfId="6" xr:uid="{00000000-0005-0000-0000-00000E000000}"/>
    <cellStyle name="Percent 4" xfId="8" xr:uid="{00000000-0005-0000-0000-00000F000000}"/>
  </cellStyles>
  <dxfs count="22">
    <dxf>
      <fill>
        <patternFill patternType="none">
          <fgColor auto="1"/>
          <bgColor auto="1"/>
        </patternFill>
      </fill>
      <border>
        <bottom/>
      </border>
    </dxf>
    <dxf>
      <font>
        <b/>
        <i val="0"/>
      </font>
      <fill>
        <patternFill patternType="none">
          <fgColor auto="1"/>
          <bgColor auto="1"/>
        </patternFill>
      </fill>
      <border>
        <bottom/>
      </border>
    </dxf>
    <dxf>
      <font>
        <b/>
        <color theme="1"/>
      </font>
    </dxf>
    <dxf>
      <font>
        <b/>
        <color theme="1"/>
      </font>
      <border>
        <bottom style="thin">
          <color theme="0" tint="-0.2499465926084170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none">
          <fgColor indexed="64"/>
          <bgColor auto="1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top style="thin">
          <color auto="1"/>
        </top>
      </border>
    </dxf>
    <dxf>
      <font>
        <b/>
        <color theme="1"/>
      </font>
      <fill>
        <patternFill patternType="solid">
          <fgColor indexed="64"/>
          <bgColor theme="4" tint="0.59996337778862885"/>
        </patternFill>
      </fill>
      <border>
        <bottom style="thin">
          <color auto="1"/>
        </bottom>
      </border>
    </dxf>
    <dxf>
      <fill>
        <patternFill patternType="none">
          <fgColor auto="1"/>
          <bgColor auto="1"/>
        </patternFill>
      </fill>
      <border>
        <bottom/>
      </border>
    </dxf>
    <dxf>
      <font>
        <b/>
        <i val="0"/>
      </font>
      <fill>
        <patternFill patternType="none">
          <fgColor auto="1"/>
          <bgColor auto="1"/>
        </patternFill>
      </fill>
      <border>
        <bottom/>
      </border>
    </dxf>
    <dxf>
      <font>
        <b/>
        <color theme="1"/>
      </font>
    </dxf>
    <dxf>
      <font>
        <b/>
        <color theme="1"/>
      </font>
      <border>
        <bottom style="thin">
          <color theme="0" tint="-0.2499465926084170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8"/>
        </top>
        <bottom style="thin">
          <color theme="8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4.9989318521683403E-2"/>
          <bgColor rgb="FFF8F8F8"/>
        </patternFill>
      </fill>
    </dxf>
    <dxf>
      <font>
        <b/>
        <color theme="1"/>
      </font>
      <fill>
        <patternFill patternType="none">
          <fgColor indexed="64"/>
          <bgColor auto="1"/>
        </patternFill>
      </fill>
      <border>
        <top style="thin">
          <color auto="1"/>
        </top>
      </border>
    </dxf>
    <dxf>
      <font>
        <b/>
        <color theme="1"/>
      </font>
      <fill>
        <patternFill patternType="none">
          <fgColor indexed="64"/>
          <bgColor auto="1"/>
        </patternFill>
      </fill>
      <border>
        <bottom style="thin">
          <color auto="1"/>
        </bottom>
      </border>
    </dxf>
  </dxfs>
  <tableStyles count="2" defaultTableStyle="TableStyleMedium9" defaultPivotStyle="PivotStyleLight16">
    <tableStyle name="PivotStyleLight20 X" table="0" count="11" xr9:uid="{00000000-0011-0000-FFFF-FFFF00000000}">
      <tableStyleElement type="headerRow" dxfId="21"/>
      <tableStyleElement type="totalRow" dxfId="20"/>
      <tableStyleElement type="firstRowStripe" dxfId="19"/>
      <tableStyleElement type="firstColumnStripe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PivotStyleLight20 X 2" table="0" count="11" xr9:uid="{00000000-0011-0000-FFFF-FFFF01000000}">
      <tableStyleElement type="headerRow" dxfId="10"/>
      <tableStyleElement type="totalRow" dxfId="9"/>
      <tableStyleElement type="firstRowStripe" dxfId="8"/>
      <tableStyleElement type="firstColumnStripe" dxfId="7"/>
      <tableStyleElement type="firstSubtotalColumn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colors>
    <mruColors>
      <color rgb="FFFABF8F"/>
      <color rgb="FFFFFFCC"/>
      <color rgb="FF88F69A"/>
      <color rgb="FF0068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9" Type="http://schemas.openxmlformats.org/officeDocument/2006/relationships/customXml" Target="../customXml/item33.xml"/><Relationship Id="rId21" Type="http://schemas.openxmlformats.org/officeDocument/2006/relationships/customXml" Target="../customXml/item15.xml"/><Relationship Id="rId34" Type="http://schemas.openxmlformats.org/officeDocument/2006/relationships/customXml" Target="../customXml/item28.xml"/><Relationship Id="rId42" Type="http://schemas.openxmlformats.org/officeDocument/2006/relationships/customXml" Target="../customXml/item36.xml"/><Relationship Id="rId47" Type="http://schemas.openxmlformats.org/officeDocument/2006/relationships/customXml" Target="../customXml/item41.xml"/><Relationship Id="rId50" Type="http://schemas.microsoft.com/office/2006/relationships/vbaProject" Target="vbaProject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6" Type="http://schemas.openxmlformats.org/officeDocument/2006/relationships/customXml" Target="../customXml/item10.xml"/><Relationship Id="rId29" Type="http://schemas.openxmlformats.org/officeDocument/2006/relationships/customXml" Target="../customXml/item23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32" Type="http://schemas.openxmlformats.org/officeDocument/2006/relationships/customXml" Target="../customXml/item26.xml"/><Relationship Id="rId37" Type="http://schemas.openxmlformats.org/officeDocument/2006/relationships/customXml" Target="../customXml/item31.xml"/><Relationship Id="rId40" Type="http://schemas.openxmlformats.org/officeDocument/2006/relationships/customXml" Target="../customXml/item34.xml"/><Relationship Id="rId45" Type="http://schemas.openxmlformats.org/officeDocument/2006/relationships/customXml" Target="../customXml/item39.xml"/><Relationship Id="rId5" Type="http://schemas.microsoft.com/office/2017/10/relationships/person" Target="persons/person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28" Type="http://schemas.openxmlformats.org/officeDocument/2006/relationships/customXml" Target="../customXml/item22.xml"/><Relationship Id="rId36" Type="http://schemas.openxmlformats.org/officeDocument/2006/relationships/customXml" Target="../customXml/item30.xml"/><Relationship Id="rId49" Type="http://schemas.openxmlformats.org/officeDocument/2006/relationships/customXml" Target="../customXml/item43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31" Type="http://schemas.openxmlformats.org/officeDocument/2006/relationships/customXml" Target="../customXml/item25.xml"/><Relationship Id="rId44" Type="http://schemas.openxmlformats.org/officeDocument/2006/relationships/customXml" Target="../customXml/item38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Relationship Id="rId30" Type="http://schemas.openxmlformats.org/officeDocument/2006/relationships/customXml" Target="../customXml/item24.xml"/><Relationship Id="rId35" Type="http://schemas.openxmlformats.org/officeDocument/2006/relationships/customXml" Target="../customXml/item29.xml"/><Relationship Id="rId43" Type="http://schemas.openxmlformats.org/officeDocument/2006/relationships/customXml" Target="../customXml/item37.xml"/><Relationship Id="rId48" Type="http://schemas.openxmlformats.org/officeDocument/2006/relationships/customXml" Target="../customXml/item42.xml"/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33" Type="http://schemas.openxmlformats.org/officeDocument/2006/relationships/customXml" Target="../customXml/item27.xml"/><Relationship Id="rId38" Type="http://schemas.openxmlformats.org/officeDocument/2006/relationships/customXml" Target="../customXml/item32.xml"/><Relationship Id="rId46" Type="http://schemas.openxmlformats.org/officeDocument/2006/relationships/customXml" Target="../customXml/item40.xml"/><Relationship Id="rId20" Type="http://schemas.openxmlformats.org/officeDocument/2006/relationships/customXml" Target="../customXml/item14.xml"/><Relationship Id="rId41" Type="http://schemas.openxmlformats.org/officeDocument/2006/relationships/customXml" Target="../customXml/item35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 tint="0.39997558519241921"/>
  </sheetPr>
  <dimension ref="A1:M16"/>
  <sheetViews>
    <sheetView tabSelected="1" workbookViewId="0">
      <selection activeCell="K4" sqref="K4"/>
    </sheetView>
  </sheetViews>
  <sheetFormatPr defaultColWidth="8.5703125" defaultRowHeight="12.75" x14ac:dyDescent="0.2"/>
  <cols>
    <col min="2" max="2" width="4" bestFit="1" customWidth="1"/>
    <col min="3" max="3" width="7.42578125" bestFit="1" customWidth="1"/>
    <col min="4" max="4" width="22.42578125" bestFit="1" customWidth="1"/>
    <col min="5" max="5" width="19.5703125" bestFit="1" customWidth="1"/>
    <col min="7" max="7" width="2" bestFit="1" customWidth="1"/>
    <col min="9" max="9" width="4" bestFit="1" customWidth="1"/>
    <col min="10" max="10" width="8.5703125" bestFit="1" customWidth="1"/>
    <col min="11" max="11" width="16.5703125" customWidth="1"/>
    <col min="12" max="12" width="5.5703125" bestFit="1" customWidth="1"/>
    <col min="13" max="13" width="16.5703125" customWidth="1"/>
  </cols>
  <sheetData>
    <row r="1" spans="1:13" x14ac:dyDescent="0.2">
      <c r="A1" s="4" t="s">
        <v>16</v>
      </c>
      <c r="B1" s="4" t="s">
        <v>17</v>
      </c>
      <c r="C1" s="1" t="s">
        <v>18</v>
      </c>
      <c r="D1" s="2" t="s">
        <v>0</v>
      </c>
      <c r="E1" s="1"/>
      <c r="F1" s="5"/>
      <c r="G1" s="7">
        <f>SUM(G2:G3)</f>
        <v>0</v>
      </c>
      <c r="H1" s="7"/>
      <c r="I1" s="7" t="e">
        <f>SUM(I2:I3)</f>
        <v>#REF!</v>
      </c>
      <c r="J1" s="7" t="e">
        <f>+#REF!+#REF!-#REF!</f>
        <v>#REF!</v>
      </c>
      <c r="K1" s="8">
        <f>SUM(K2:K3)</f>
        <v>0</v>
      </c>
      <c r="L1" s="7" t="e">
        <f>SUM(L2:L3)</f>
        <v>#REF!</v>
      </c>
      <c r="M1" s="13" t="s">
        <v>19</v>
      </c>
    </row>
    <row r="2" spans="1:13" x14ac:dyDescent="0.2">
      <c r="A2" s="4" t="s">
        <v>16</v>
      </c>
      <c r="B2" s="4" t="s">
        <v>17</v>
      </c>
      <c r="C2" s="1" t="s">
        <v>18</v>
      </c>
      <c r="D2" s="2"/>
      <c r="E2" s="1" t="s">
        <v>4</v>
      </c>
      <c r="F2" s="5"/>
      <c r="G2" s="5"/>
      <c r="H2" s="6"/>
      <c r="I2" s="3" t="e">
        <f>SUMIFS(#REF!,#REF!,#REF!,#REF!,#REF!)</f>
        <v>#REF!</v>
      </c>
      <c r="J2" s="3" t="e">
        <f>+#REF!+#REF!-#REF!</f>
        <v>#REF!</v>
      </c>
      <c r="K2" s="4"/>
      <c r="L2" s="12" t="e">
        <f>#REF!-#REF!</f>
        <v>#REF!</v>
      </c>
      <c r="M2" s="14"/>
    </row>
    <row r="3" spans="1:13" x14ac:dyDescent="0.2">
      <c r="A3" s="4" t="s">
        <v>16</v>
      </c>
      <c r="B3" s="4" t="s">
        <v>17</v>
      </c>
      <c r="C3" s="1" t="s">
        <v>18</v>
      </c>
      <c r="D3" s="2"/>
      <c r="E3" s="1" t="s">
        <v>5</v>
      </c>
      <c r="F3" s="5"/>
      <c r="G3" s="5"/>
      <c r="H3" s="6"/>
      <c r="I3" s="3" t="e">
        <f>SUMIFS(#REF!,#REF!,#REF!,#REF!,#REF!)</f>
        <v>#REF!</v>
      </c>
      <c r="J3" s="3" t="e">
        <f>+#REF!+#REF!-#REF!</f>
        <v>#REF!</v>
      </c>
      <c r="K3" s="4"/>
      <c r="L3" s="12" t="e">
        <f>#REF!-#REF!</f>
        <v>#REF!</v>
      </c>
      <c r="M3" s="14"/>
    </row>
    <row r="4" spans="1:13" x14ac:dyDescent="0.2">
      <c r="A4" s="4" t="s">
        <v>16</v>
      </c>
      <c r="B4" s="4" t="s">
        <v>17</v>
      </c>
      <c r="C4" s="1" t="s">
        <v>18</v>
      </c>
      <c r="D4" s="2" t="s">
        <v>1</v>
      </c>
      <c r="E4" s="1"/>
      <c r="F4" s="5"/>
      <c r="G4" s="7">
        <f>SUM(G5:G11)</f>
        <v>0</v>
      </c>
      <c r="H4" s="7"/>
      <c r="I4" s="7" t="e">
        <f>SUM(I5:I11)</f>
        <v>#REF!</v>
      </c>
      <c r="J4" s="7" t="e">
        <f>+#REF!+#REF!-#REF!</f>
        <v>#REF!</v>
      </c>
      <c r="K4" s="8">
        <f>SUM(K5:K11)</f>
        <v>0</v>
      </c>
      <c r="L4" s="9" t="e">
        <f>SUM(L5:L11)</f>
        <v>#REF!</v>
      </c>
      <c r="M4" s="14"/>
    </row>
    <row r="5" spans="1:13" x14ac:dyDescent="0.2">
      <c r="A5" s="4" t="s">
        <v>16</v>
      </c>
      <c r="B5" s="4" t="s">
        <v>17</v>
      </c>
      <c r="C5" s="1" t="s">
        <v>18</v>
      </c>
      <c r="D5" s="2"/>
      <c r="E5" s="1" t="s">
        <v>6</v>
      </c>
      <c r="F5" s="5"/>
      <c r="G5" s="5"/>
      <c r="H5" s="6"/>
      <c r="I5" s="3" t="e">
        <f>+SUMIFS(#REF!,#REF!,#REF!,#REF!,#REF!)</f>
        <v>#REF!</v>
      </c>
      <c r="J5" s="3" t="e">
        <f>+#REF!+#REF!-#REF!</f>
        <v>#REF!</v>
      </c>
      <c r="K5" s="4"/>
      <c r="L5" s="12" t="e">
        <f>#REF!-#REF!</f>
        <v>#REF!</v>
      </c>
      <c r="M5" s="14"/>
    </row>
    <row r="6" spans="1:13" x14ac:dyDescent="0.2">
      <c r="A6" s="4" t="s">
        <v>16</v>
      </c>
      <c r="B6" s="4" t="s">
        <v>17</v>
      </c>
      <c r="C6" s="1" t="s">
        <v>18</v>
      </c>
      <c r="D6" s="2"/>
      <c r="E6" s="1" t="s">
        <v>7</v>
      </c>
      <c r="F6" s="5"/>
      <c r="G6" s="5"/>
      <c r="H6" s="6"/>
      <c r="I6" s="3" t="e">
        <f>+SUMIFS(#REF!,#REF!,#REF!,#REF!,#REF!)</f>
        <v>#REF!</v>
      </c>
      <c r="J6" s="3" t="e">
        <f>+#REF!+#REF!-#REF!</f>
        <v>#REF!</v>
      </c>
      <c r="K6" s="4"/>
      <c r="L6" s="12" t="e">
        <f>#REF!-#REF!</f>
        <v>#REF!</v>
      </c>
      <c r="M6" s="14"/>
    </row>
    <row r="7" spans="1:13" x14ac:dyDescent="0.2">
      <c r="A7" s="4" t="s">
        <v>16</v>
      </c>
      <c r="B7" s="4" t="s">
        <v>17</v>
      </c>
      <c r="C7" s="1" t="s">
        <v>18</v>
      </c>
      <c r="D7" s="2"/>
      <c r="E7" s="1" t="s">
        <v>8</v>
      </c>
      <c r="F7" s="5"/>
      <c r="G7" s="5"/>
      <c r="H7" s="6"/>
      <c r="I7" s="3" t="e">
        <f>+SUMIFS(#REF!,#REF!,#REF!,#REF!,#REF!)</f>
        <v>#REF!</v>
      </c>
      <c r="J7" s="3" t="e">
        <f>+#REF!+#REF!-#REF!</f>
        <v>#REF!</v>
      </c>
      <c r="K7" s="4"/>
      <c r="L7" s="12" t="e">
        <f>#REF!-#REF!</f>
        <v>#REF!</v>
      </c>
      <c r="M7" s="14"/>
    </row>
    <row r="8" spans="1:13" x14ac:dyDescent="0.2">
      <c r="A8" s="4" t="s">
        <v>16</v>
      </c>
      <c r="B8" s="4" t="s">
        <v>17</v>
      </c>
      <c r="C8" s="1" t="s">
        <v>18</v>
      </c>
      <c r="D8" s="2"/>
      <c r="E8" s="1" t="s">
        <v>9</v>
      </c>
      <c r="F8" s="5"/>
      <c r="G8" s="5"/>
      <c r="H8" s="6"/>
      <c r="I8" s="3" t="e">
        <f>+SUMIFS(#REF!,#REF!,#REF!,#REF!,#REF!)</f>
        <v>#REF!</v>
      </c>
      <c r="J8" s="3" t="e">
        <f>+#REF!+#REF!-#REF!</f>
        <v>#REF!</v>
      </c>
      <c r="K8" s="4"/>
      <c r="L8" s="12" t="e">
        <f>#REF!-#REF!</f>
        <v>#REF!</v>
      </c>
      <c r="M8" s="14"/>
    </row>
    <row r="9" spans="1:13" x14ac:dyDescent="0.2">
      <c r="A9" s="4" t="s">
        <v>16</v>
      </c>
      <c r="B9" s="4" t="s">
        <v>17</v>
      </c>
      <c r="C9" s="1" t="s">
        <v>18</v>
      </c>
      <c r="D9" s="2"/>
      <c r="E9" s="1" t="s">
        <v>10</v>
      </c>
      <c r="F9" s="5"/>
      <c r="G9" s="5"/>
      <c r="H9" s="6"/>
      <c r="I9" s="3" t="e">
        <f>+SUMIFS(#REF!,#REF!,#REF!,#REF!,#REF!)</f>
        <v>#REF!</v>
      </c>
      <c r="J9" s="3" t="e">
        <f>+#REF!+#REF!-#REF!</f>
        <v>#REF!</v>
      </c>
      <c r="K9" s="4"/>
      <c r="L9" s="12" t="e">
        <f>#REF!-#REF!</f>
        <v>#REF!</v>
      </c>
      <c r="M9" s="14"/>
    </row>
    <row r="10" spans="1:13" x14ac:dyDescent="0.2">
      <c r="A10" s="4" t="s">
        <v>16</v>
      </c>
      <c r="B10" s="4" t="s">
        <v>17</v>
      </c>
      <c r="C10" s="1" t="s">
        <v>18</v>
      </c>
      <c r="D10" s="2"/>
      <c r="E10" s="1" t="s">
        <v>11</v>
      </c>
      <c r="F10" s="5"/>
      <c r="G10" s="5"/>
      <c r="H10" s="6"/>
      <c r="I10" s="3" t="e">
        <f>+SUMIFS(#REF!,#REF!,#REF!,#REF!,#REF!)</f>
        <v>#REF!</v>
      </c>
      <c r="J10" s="3" t="e">
        <f>+#REF!+#REF!-#REF!</f>
        <v>#REF!</v>
      </c>
      <c r="K10" s="4"/>
      <c r="L10" s="12" t="e">
        <f>#REF!-#REF!</f>
        <v>#REF!</v>
      </c>
      <c r="M10" s="14"/>
    </row>
    <row r="11" spans="1:13" x14ac:dyDescent="0.2">
      <c r="A11" s="4" t="s">
        <v>16</v>
      </c>
      <c r="B11" s="4" t="s">
        <v>17</v>
      </c>
      <c r="C11" s="1" t="s">
        <v>18</v>
      </c>
      <c r="D11" s="2"/>
      <c r="E11" s="1" t="s">
        <v>12</v>
      </c>
      <c r="F11" s="5"/>
      <c r="G11" s="5"/>
      <c r="H11" s="6"/>
      <c r="I11" s="3" t="e">
        <f>+SUMIFS(#REF!,#REF!,#REF!,#REF!,#REF!)</f>
        <v>#REF!</v>
      </c>
      <c r="J11" s="3" t="e">
        <f>+#REF!+#REF!-#REF!</f>
        <v>#REF!</v>
      </c>
      <c r="K11" s="4"/>
      <c r="L11" s="12" t="e">
        <f>#REF!-#REF!</f>
        <v>#REF!</v>
      </c>
      <c r="M11" s="14"/>
    </row>
    <row r="12" spans="1:13" x14ac:dyDescent="0.2">
      <c r="A12" s="4" t="s">
        <v>16</v>
      </c>
      <c r="B12" s="4" t="s">
        <v>17</v>
      </c>
      <c r="C12" s="1" t="s">
        <v>18</v>
      </c>
      <c r="D12" s="2" t="s">
        <v>2</v>
      </c>
      <c r="E12" s="1" t="s">
        <v>2</v>
      </c>
      <c r="F12" s="5"/>
      <c r="G12" s="10" t="e">
        <f>#REF!</f>
        <v>#REF!</v>
      </c>
      <c r="H12" s="11"/>
      <c r="I12" s="7" t="e">
        <f>+SUMIFS(#REF!,#REF!,#REF!,#REF!,#REF!)</f>
        <v>#REF!</v>
      </c>
      <c r="J12" s="7" t="e">
        <f>+#REF!+#REF!-#REF!</f>
        <v>#REF!</v>
      </c>
      <c r="K12" s="8">
        <v>0</v>
      </c>
      <c r="L12" s="9" t="e">
        <f>#REF!-#REF!</f>
        <v>#REF!</v>
      </c>
      <c r="M12" s="14"/>
    </row>
    <row r="13" spans="1:13" x14ac:dyDescent="0.2">
      <c r="A13" s="4" t="s">
        <v>16</v>
      </c>
      <c r="B13" s="4" t="s">
        <v>17</v>
      </c>
      <c r="C13" s="1" t="s">
        <v>18</v>
      </c>
      <c r="D13" s="2" t="s">
        <v>3</v>
      </c>
      <c r="E13" s="1"/>
      <c r="F13" s="5"/>
      <c r="G13" s="7">
        <f>SUM(G14:G16)</f>
        <v>0</v>
      </c>
      <c r="H13" s="7"/>
      <c r="I13" s="7" t="e">
        <f>SUM(I14:I16)</f>
        <v>#REF!</v>
      </c>
      <c r="J13" s="7" t="e">
        <f>+#REF!+#REF!-#REF!</f>
        <v>#REF!</v>
      </c>
      <c r="K13" s="8">
        <f>SUM(K14:K16)</f>
        <v>0</v>
      </c>
      <c r="L13" s="9" t="e">
        <f>SUM(L14:L16)</f>
        <v>#REF!</v>
      </c>
      <c r="M13" s="14"/>
    </row>
    <row r="14" spans="1:13" x14ac:dyDescent="0.2">
      <c r="A14" s="4" t="s">
        <v>16</v>
      </c>
      <c r="B14" s="4" t="s">
        <v>17</v>
      </c>
      <c r="C14" s="1" t="s">
        <v>18</v>
      </c>
      <c r="D14" s="2"/>
      <c r="E14" s="1" t="s">
        <v>13</v>
      </c>
      <c r="F14" s="5"/>
      <c r="G14" s="5"/>
      <c r="H14" s="6"/>
      <c r="I14" s="3" t="e">
        <f>+SUMIFS(#REF!,#REF!,#REF!,#REF!,#REF!)</f>
        <v>#REF!</v>
      </c>
      <c r="J14" s="3" t="e">
        <f>+#REF!+#REF!-#REF!</f>
        <v>#REF!</v>
      </c>
      <c r="K14" s="4"/>
      <c r="L14" s="12" t="e">
        <f>#REF!-#REF!</f>
        <v>#REF!</v>
      </c>
      <c r="M14" s="14"/>
    </row>
    <row r="15" spans="1:13" x14ac:dyDescent="0.2">
      <c r="A15" s="4" t="s">
        <v>16</v>
      </c>
      <c r="B15" s="4" t="s">
        <v>17</v>
      </c>
      <c r="C15" s="1" t="s">
        <v>18</v>
      </c>
      <c r="D15" s="2"/>
      <c r="E15" s="1" t="s">
        <v>14</v>
      </c>
      <c r="F15" s="5"/>
      <c r="G15" s="5"/>
      <c r="H15" s="6"/>
      <c r="I15" s="3" t="e">
        <f>+SUMIFS(#REF!,#REF!,#REF!,#REF!,#REF!)</f>
        <v>#REF!</v>
      </c>
      <c r="J15" s="3" t="e">
        <f>+#REF!+#REF!-#REF!</f>
        <v>#REF!</v>
      </c>
      <c r="K15" s="4"/>
      <c r="L15" s="12" t="e">
        <f>#REF!-#REF!</f>
        <v>#REF!</v>
      </c>
      <c r="M15" s="14"/>
    </row>
    <row r="16" spans="1:13" x14ac:dyDescent="0.2">
      <c r="A16" s="4" t="s">
        <v>16</v>
      </c>
      <c r="B16" s="4" t="s">
        <v>17</v>
      </c>
      <c r="C16" s="1" t="s">
        <v>18</v>
      </c>
      <c r="D16" s="2"/>
      <c r="E16" s="1" t="s">
        <v>15</v>
      </c>
      <c r="F16" s="5"/>
      <c r="G16" s="5"/>
      <c r="H16" s="6"/>
      <c r="I16" s="3" t="e">
        <f>+SUMIFS(#REF!,#REF!,#REF!,#REF!,#REF!)</f>
        <v>#REF!</v>
      </c>
      <c r="J16" s="3" t="e">
        <f>+#REF!+#REF!-#REF!</f>
        <v>#REF!</v>
      </c>
      <c r="K16" s="4"/>
      <c r="L16" s="12" t="e">
        <f>#REF!-#REF!</f>
        <v>#REF!</v>
      </c>
      <c r="M16" s="14"/>
    </row>
  </sheetData>
  <mergeCells count="1">
    <mergeCell ref="M1:M1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CCABF9EA204049A9D842DB30B440EC" ma:contentTypeVersion="20" ma:contentTypeDescription="Create a new document." ma:contentTypeScope="" ma:versionID="098e7dd62aa022036e2a5b3f073a6e62">
  <xsd:schema xmlns:xsd="http://www.w3.org/2001/XMLSchema" xmlns:xs="http://www.w3.org/2001/XMLSchema" xmlns:p="http://schemas.microsoft.com/office/2006/metadata/properties" xmlns:ns2="8cd76e3c-5b7b-4873-8ef8-85414aa718f8" xmlns:ns3="f07e86df-e81b-430a-8987-bcdc8dabd543" targetNamespace="http://schemas.microsoft.com/office/2006/metadata/properties" ma:root="true" ma:fieldsID="cf0a6b66b1f1bd5f51c1619aed1fbd94" ns2:_="" ns3:_="">
    <xsd:import namespace="8cd76e3c-5b7b-4873-8ef8-85414aa718f8"/>
    <xsd:import namespace="f07e86df-e81b-430a-8987-bcdc8dabd5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d76e3c-5b7b-4873-8ef8-85414aa718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08d15517-619f-4d63-be4f-f8abc2b37892}" ma:internalName="TaxCatchAll" ma:showField="CatchAllData" ma:web="8cd76e3c-5b7b-4873-8ef8-85414aa718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e86df-e81b-430a-8987-bcdc8dabd5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48f71b8-5660-4508-9671-02390a85f4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cd76e3c-5b7b-4873-8ef8-85414aa718f8">
      <UserInfo>
        <DisplayName>ARPGGASite Members</DisplayName>
        <AccountId>9</AccountId>
        <AccountType/>
      </UserInfo>
      <UserInfo>
        <DisplayName>ARPGGASite Visitors</DisplayName>
        <AccountId>8</AccountId>
        <AccountType/>
      </UserInfo>
      <UserInfo>
        <DisplayName>ARPGGA Operaciones Members</DisplayName>
        <AccountId>34</AccountId>
        <AccountType/>
      </UserInfo>
      <UserInfo>
        <DisplayName>SharingLinks.089f3202-7bb3-4c7b-911c-baa9052c3e40.Flexible.80b8e149-f170-4857-9489-a2ecfedf314b</DisplayName>
        <AccountId>32</AccountId>
        <AccountType/>
      </UserInfo>
      <UserInfo>
        <DisplayName>SharingLinks.089f3202-7bb3-4c7b-911c-baa9052c3e40.Flexible.6d3297a5-c307-4ca4-9a0e-fae14dcb5207</DisplayName>
        <AccountId>21</AccountId>
        <AccountType/>
      </UserInfo>
    </SharedWithUsers>
    <_Flow_SignoffStatus xmlns="f07e86df-e81b-430a-8987-bcdc8dabd543" xsi:nil="true"/>
    <lcf76f155ced4ddcb4097134ff3c332f xmlns="f07e86df-e81b-430a-8987-bcdc8dabd543">
      <Terms xmlns="http://schemas.microsoft.com/office/infopath/2007/PartnerControls"/>
    </lcf76f155ced4ddcb4097134ff3c332f>
    <TaxCatchAll xmlns="8cd76e3c-5b7b-4873-8ef8-85414aa718f8" xsi:nil="true"/>
  </documentManagement>
</p:properties>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Props1.xml><?xml version="1.0" encoding="utf-8"?>
<ds:datastoreItem xmlns:ds="http://schemas.openxmlformats.org/officeDocument/2006/customXml" ds:itemID="{0B377681-0E27-48A3-B098-124211A4D33F}">
  <ds:schemaRefs>
    <ds:schemaRef ds:uri="http://gemini/pivotcustomization/e7ce1cbb-c97a-42c7-b454-9404bcaf0cb5"/>
  </ds:schemaRefs>
</ds:datastoreItem>
</file>

<file path=customXml/itemProps2.xml><?xml version="1.0" encoding="utf-8"?>
<ds:datastoreItem xmlns:ds="http://schemas.openxmlformats.org/officeDocument/2006/customXml" ds:itemID="{3B26A403-540A-473C-BD3B-696F35F8494A}">
  <ds:schemaRefs>
    <ds:schemaRef ds:uri="http://gemini/pivotcustomization/f991d251-b6af-4509-a911-87adca40ddae"/>
  </ds:schemaRefs>
</ds:datastoreItem>
</file>

<file path=customXml/itemProps3.xml><?xml version="1.0" encoding="utf-8"?>
<ds:datastoreItem xmlns:ds="http://schemas.openxmlformats.org/officeDocument/2006/customXml" ds:itemID="{E5383519-6BC2-4CEA-B965-4B63DDB8BE06}">
  <ds:schemaRefs>
    <ds:schemaRef ds:uri="http://gemini/pivotcustomization/MeasureGridState"/>
  </ds:schemaRefs>
</ds:datastoreItem>
</file>

<file path=customXml/itemProps4.xml><?xml version="1.0" encoding="utf-8"?>
<ds:datastoreItem xmlns:ds="http://schemas.openxmlformats.org/officeDocument/2006/customXml" ds:itemID="{40EC0208-A8D0-4AB3-BB46-79BAC5AB886A}">
  <ds:schemaRefs>
    <ds:schemaRef ds:uri="http://gemini/pivotcustomization/dbc198bf-5117-4651-bef2-a0541de7f924"/>
  </ds:schemaRefs>
</ds:datastoreItem>
</file>

<file path=customXml/itemProps5.xml><?xml version="1.0" encoding="utf-8"?>
<ds:datastoreItem xmlns:ds="http://schemas.openxmlformats.org/officeDocument/2006/customXml" ds:itemID="{3805CEB3-6A0E-4B42-8F57-C97B0AFC89A8}">
  <ds:schemaRefs>
    <ds:schemaRef ds:uri="http://gemini/pivotcustomization/TableXML_Table2-4bfd369c-5bbe-4432-bd96-978151e92019"/>
  </ds:schemaRefs>
</ds:datastoreItem>
</file>

<file path=customXml/itemProps6.xml><?xml version="1.0" encoding="utf-8"?>
<ds:datastoreItem xmlns:ds="http://schemas.openxmlformats.org/officeDocument/2006/customXml" ds:itemID="{96D044E7-C064-4F95-BA00-7FAFCA824FE4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58453FAF-C240-4096-89D4-95EE3119C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d76e3c-5b7b-4873-8ef8-85414aa718f8"/>
    <ds:schemaRef ds:uri="f07e86df-e81b-430a-8987-bcdc8dabd5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6DD0A866-A9E9-4C51-8EB1-1CF5CFA2FD1D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FD3C4EC5-640D-4518-98A3-3307E9E6AEA7}">
  <ds:schemaRefs>
    <ds:schemaRef ds:uri="http://gemini/pivotcustomization/3bcf2aae-5ef5-4088-b32e-2aeed7af3248"/>
  </ds:schemaRefs>
</ds:datastoreItem>
</file>

<file path=customXml/itemProps10.xml><?xml version="1.0" encoding="utf-8"?>
<ds:datastoreItem xmlns:ds="http://schemas.openxmlformats.org/officeDocument/2006/customXml" ds:itemID="{28A52990-65D6-4254-BEC0-729E4EF6053C}">
  <ds:schemaRefs>
    <ds:schemaRef ds:uri="http://gemini/pivotcustomization/Diagrams"/>
  </ds:schemaRefs>
</ds:datastoreItem>
</file>

<file path=customXml/itemProps11.xml><?xml version="1.0" encoding="utf-8"?>
<ds:datastoreItem xmlns:ds="http://schemas.openxmlformats.org/officeDocument/2006/customXml" ds:itemID="{51584879-5DE8-4D6C-8EDA-39E11ECE374C}">
  <ds:schemaRefs>
    <ds:schemaRef ds:uri="http://gemini/pivotcustomization/ClientWindowXML"/>
  </ds:schemaRefs>
</ds:datastoreItem>
</file>

<file path=customXml/itemProps12.xml><?xml version="1.0" encoding="utf-8"?>
<ds:datastoreItem xmlns:ds="http://schemas.openxmlformats.org/officeDocument/2006/customXml" ds:itemID="{375B0600-628B-4D0D-AFF5-E0938F871671}">
  <ds:schemaRefs>
    <ds:schemaRef ds:uri="http://gemini/pivotcustomization/SandboxNonEmpty"/>
  </ds:schemaRefs>
</ds:datastoreItem>
</file>

<file path=customXml/itemProps13.xml><?xml version="1.0" encoding="utf-8"?>
<ds:datastoreItem xmlns:ds="http://schemas.openxmlformats.org/officeDocument/2006/customXml" ds:itemID="{9ECD25DF-93C8-45AC-971D-D623C6293CD2}">
  <ds:schemaRefs>
    <ds:schemaRef ds:uri="http://gemini/pivotcustomization/ShowHidden"/>
  </ds:schemaRefs>
</ds:datastoreItem>
</file>

<file path=customXml/itemProps14.xml><?xml version="1.0" encoding="utf-8"?>
<ds:datastoreItem xmlns:ds="http://schemas.openxmlformats.org/officeDocument/2006/customXml" ds:itemID="{23593A1C-CF51-40F4-8157-C9198F5277D3}">
  <ds:schemaRefs>
    <ds:schemaRef ds:uri="http://gemini/pivotcustomization/RelationshipAutoDetectionEnabled"/>
  </ds:schemaRefs>
</ds:datastoreItem>
</file>

<file path=customXml/itemProps15.xml><?xml version="1.0" encoding="utf-8"?>
<ds:datastoreItem xmlns:ds="http://schemas.openxmlformats.org/officeDocument/2006/customXml" ds:itemID="{169C735E-E4F5-42CC-AFA4-9EA6DCBC0EC5}">
  <ds:schemaRefs>
    <ds:schemaRef ds:uri="http://gemini/pivotcustomization/634d9358-da16-4d6f-8e3b-af03ca537205"/>
  </ds:schemaRefs>
</ds:datastoreItem>
</file>

<file path=customXml/itemProps16.xml><?xml version="1.0" encoding="utf-8"?>
<ds:datastoreItem xmlns:ds="http://schemas.openxmlformats.org/officeDocument/2006/customXml" ds:itemID="{8AF5C14D-2504-4543-AD4C-C52DEE10AE0D}">
  <ds:schemaRefs>
    <ds:schemaRef ds:uri="http://gemini/pivotcustomization/IsSandboxEmbedded"/>
  </ds:schemaRefs>
</ds:datastoreItem>
</file>

<file path=customXml/itemProps17.xml><?xml version="1.0" encoding="utf-8"?>
<ds:datastoreItem xmlns:ds="http://schemas.openxmlformats.org/officeDocument/2006/customXml" ds:itemID="{6F617C73-4061-461E-B1DA-42149DA73C4B}">
  <ds:schemaRefs>
    <ds:schemaRef ds:uri="http://gemini/pivotcustomization/24ed58d3-f824-4f42-b5f9-8be2a9cfbe49"/>
  </ds:schemaRefs>
</ds:datastoreItem>
</file>

<file path=customXml/itemProps18.xml><?xml version="1.0" encoding="utf-8"?>
<ds:datastoreItem xmlns:ds="http://schemas.openxmlformats.org/officeDocument/2006/customXml" ds:itemID="{41544BA5-8066-4C0F-8290-C5D19DEE878E}">
  <ds:schemaRefs>
    <ds:schemaRef ds:uri="http://gemini/pivotcustomization/TableXML_Table3-a5752ee4-b190-4e68-aa5f-f33f91cd0aa6"/>
  </ds:schemaRefs>
</ds:datastoreItem>
</file>

<file path=customXml/itemProps19.xml><?xml version="1.0" encoding="utf-8"?>
<ds:datastoreItem xmlns:ds="http://schemas.openxmlformats.org/officeDocument/2006/customXml" ds:itemID="{BA3ADBD4-4871-42C2-889B-7BDAE7DA2113}">
  <ds:schemaRefs>
    <ds:schemaRef ds:uri="http://gemini/pivotcustomization/84529afb-4cb5-4ced-810a-a6d00ab8b26b"/>
  </ds:schemaRefs>
</ds:datastoreItem>
</file>

<file path=customXml/itemProps20.xml><?xml version="1.0" encoding="utf-8"?>
<ds:datastoreItem xmlns:ds="http://schemas.openxmlformats.org/officeDocument/2006/customXml" ds:itemID="{DB209427-D564-45E4-B43E-A4F9799B5615}">
  <ds:schemaRefs>
    <ds:schemaRef ds:uri="http://gemini/pivotcustomization/PowerPivotVersion"/>
  </ds:schemaRefs>
</ds:datastoreItem>
</file>

<file path=customXml/itemProps21.xml><?xml version="1.0" encoding="utf-8"?>
<ds:datastoreItem xmlns:ds="http://schemas.openxmlformats.org/officeDocument/2006/customXml" ds:itemID="{D7C0B8C3-2AA7-47F5-B82F-6E3541C8BD47}">
  <ds:schemaRefs>
    <ds:schemaRef ds:uri="http://gemini/pivotcustomization/5dbfae04-ad4e-4882-9333-c068da4c77fa"/>
  </ds:schemaRefs>
</ds:datastoreItem>
</file>

<file path=customXml/itemProps22.xml><?xml version="1.0" encoding="utf-8"?>
<ds:datastoreItem xmlns:ds="http://schemas.openxmlformats.org/officeDocument/2006/customXml" ds:itemID="{422E81C4-F42E-48AC-AD72-F622CF371C99}">
  <ds:schemaRefs>
    <ds:schemaRef ds:uri="http://gemini/pivotcustomization/TableXML_Actividades-3d307aab-b0ff-459e-a1e8-b848f579c3c8"/>
  </ds:schemaRefs>
</ds:datastoreItem>
</file>

<file path=customXml/itemProps23.xml><?xml version="1.0" encoding="utf-8"?>
<ds:datastoreItem xmlns:ds="http://schemas.openxmlformats.org/officeDocument/2006/customXml" ds:itemID="{2EDB5AE9-46E4-4899-991E-144B16D4FA00}">
  <ds:schemaRefs>
    <ds:schemaRef ds:uri="http://gemini/pivotcustomization/fa25969f-2574-4050-addc-f66f37175bd2"/>
  </ds:schemaRefs>
</ds:datastoreItem>
</file>

<file path=customXml/itemProps24.xml><?xml version="1.0" encoding="utf-8"?>
<ds:datastoreItem xmlns:ds="http://schemas.openxmlformats.org/officeDocument/2006/customXml" ds:itemID="{09C54BB0-E4B9-4721-A0E2-709A5319D013}">
  <ds:schemaRefs>
    <ds:schemaRef ds:uri="http://gemini/pivotcustomization/TableXML_Table9-4ab43d75-0646-4a6a-84c9-dd90b94768d7"/>
  </ds:schemaRefs>
</ds:datastoreItem>
</file>

<file path=customXml/itemProps25.xml><?xml version="1.0" encoding="utf-8"?>
<ds:datastoreItem xmlns:ds="http://schemas.openxmlformats.org/officeDocument/2006/customXml" ds:itemID="{F4BED889-0555-4D6A-B902-733615A203E1}">
  <ds:schemaRefs>
    <ds:schemaRef ds:uri="http://gemini/pivotcustomization/a5e4f6a1-94b8-4541-a013-db888deee7d1"/>
  </ds:schemaRefs>
</ds:datastoreItem>
</file>

<file path=customXml/itemProps26.xml><?xml version="1.0" encoding="utf-8"?>
<ds:datastoreItem xmlns:ds="http://schemas.openxmlformats.org/officeDocument/2006/customXml" ds:itemID="{5810FD0D-8466-46D1-85B6-87DC060F4743}">
  <ds:schemaRefs>
    <ds:schemaRef ds:uri="http://gemini/pivotcustomization/TableXML_Proyectos-834e1481-40e4-4fe1-b597-2621526049a0"/>
  </ds:schemaRefs>
</ds:datastoreItem>
</file>

<file path=customXml/itemProps27.xml><?xml version="1.0" encoding="utf-8"?>
<ds:datastoreItem xmlns:ds="http://schemas.openxmlformats.org/officeDocument/2006/customXml" ds:itemID="{168F6A94-B0A2-4132-8DD5-4F0731B1A22F}">
  <ds:schemaRefs>
    <ds:schemaRef ds:uri="http://gemini/pivotcustomization/TableXML_Table1-48b04328-96a3-4316-a0c8-0409d9f6c1ea"/>
  </ds:schemaRefs>
</ds:datastoreItem>
</file>

<file path=customXml/itemProps28.xml><?xml version="1.0" encoding="utf-8"?>
<ds:datastoreItem xmlns:ds="http://schemas.openxmlformats.org/officeDocument/2006/customXml" ds:itemID="{8D936505-ACC4-48FD-B1ED-6262CDD237A7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3C0D0D03-9BDF-4FB6-B708-15319A28060D}">
  <ds:schemaRefs>
    <ds:schemaRef ds:uri="8cd76e3c-5b7b-4873-8ef8-85414aa718f8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f07e86df-e81b-430a-8987-bcdc8dabd543"/>
  </ds:schemaRefs>
</ds:datastoreItem>
</file>

<file path=customXml/itemProps30.xml><?xml version="1.0" encoding="utf-8"?>
<ds:datastoreItem xmlns:ds="http://schemas.openxmlformats.org/officeDocument/2006/customXml" ds:itemID="{B2E9726B-CD67-4831-8CE4-01EEBB440912}">
  <ds:schemaRefs>
    <ds:schemaRef ds:uri="http://gemini/pivotcustomization/TableXML_Clasificacion_Tareas-c1342b5b-375a-4ec6-94fc-14870e4e67d8"/>
  </ds:schemaRefs>
</ds:datastoreItem>
</file>

<file path=customXml/itemProps31.xml><?xml version="1.0" encoding="utf-8"?>
<ds:datastoreItem xmlns:ds="http://schemas.openxmlformats.org/officeDocument/2006/customXml" ds:itemID="{3DF270AF-C416-40ED-879C-94C5628E0575}">
  <ds:schemaRefs>
    <ds:schemaRef ds:uri="http://gemini/pivotcustomization/ShowImplicitMeasures"/>
  </ds:schemaRefs>
</ds:datastoreItem>
</file>

<file path=customXml/itemProps32.xml><?xml version="1.0" encoding="utf-8"?>
<ds:datastoreItem xmlns:ds="http://schemas.openxmlformats.org/officeDocument/2006/customXml" ds:itemID="{3D72C94D-593E-4A7B-9273-7007A2F05C26}">
  <ds:schemaRefs>
    <ds:schemaRef ds:uri="http://gemini/pivotcustomization/LinkedTableUpdateMode"/>
  </ds:schemaRefs>
</ds:datastoreItem>
</file>

<file path=customXml/itemProps33.xml><?xml version="1.0" encoding="utf-8"?>
<ds:datastoreItem xmlns:ds="http://schemas.openxmlformats.org/officeDocument/2006/customXml" ds:itemID="{D441BA7F-5254-4E8F-912E-2C48CDC58ACB}">
  <ds:schemaRefs>
    <ds:schemaRef ds:uri="http://gemini/pivotcustomization/LinkedTables"/>
  </ds:schemaRefs>
</ds:datastoreItem>
</file>

<file path=customXml/itemProps34.xml><?xml version="1.0" encoding="utf-8"?>
<ds:datastoreItem xmlns:ds="http://schemas.openxmlformats.org/officeDocument/2006/customXml" ds:itemID="{B1C4DADE-E005-4A4D-AFE5-537E54F0B5D3}">
  <ds:schemaRefs>
    <ds:schemaRef ds:uri="http://gemini/pivotcustomization/8ce44590-5bc9-4768-8d57-3188f43c79b2"/>
  </ds:schemaRefs>
</ds:datastoreItem>
</file>

<file path=customXml/itemProps35.xml><?xml version="1.0" encoding="utf-8"?>
<ds:datastoreItem xmlns:ds="http://schemas.openxmlformats.org/officeDocument/2006/customXml" ds:itemID="{3980BF31-96BA-4203-A06D-A087E9A90647}">
  <ds:schemaRefs>
    <ds:schemaRef ds:uri="http://gemini/pivotcustomization/TableOrder"/>
  </ds:schemaRefs>
</ds:datastoreItem>
</file>

<file path=customXml/itemProps36.xml><?xml version="1.0" encoding="utf-8"?>
<ds:datastoreItem xmlns:ds="http://schemas.openxmlformats.org/officeDocument/2006/customXml" ds:itemID="{5D138380-7D94-4663-BD46-7C6B2DBAAA5D}">
  <ds:schemaRefs>
    <ds:schemaRef ds:uri="http://gemini/pivotcustomization/TableCountInSandbox"/>
  </ds:schemaRefs>
</ds:datastoreItem>
</file>

<file path=customXml/itemProps37.xml><?xml version="1.0" encoding="utf-8"?>
<ds:datastoreItem xmlns:ds="http://schemas.openxmlformats.org/officeDocument/2006/customXml" ds:itemID="{A9020241-2FF7-4CB7-A471-7AE4918AD5A4}">
  <ds:schemaRefs>
    <ds:schemaRef ds:uri="http://gemini/pivotcustomization/TableXML_Table4-189bccf3-06e5-4613-b252-ea1fb82fb891"/>
  </ds:schemaRefs>
</ds:datastoreItem>
</file>

<file path=customXml/itemProps38.xml><?xml version="1.0" encoding="utf-8"?>
<ds:datastoreItem xmlns:ds="http://schemas.openxmlformats.org/officeDocument/2006/customXml" ds:itemID="{9562DE49-D238-4EC1-AF11-90A859DF16BA}">
  <ds:schemaRefs>
    <ds:schemaRef ds:uri="http://gemini/pivotcustomization/1011db6d-948b-4259-a325-3190e5a53cfa"/>
  </ds:schemaRefs>
</ds:datastoreItem>
</file>

<file path=customXml/itemProps39.xml><?xml version="1.0" encoding="utf-8"?>
<ds:datastoreItem xmlns:ds="http://schemas.openxmlformats.org/officeDocument/2006/customXml" ds:itemID="{4D119571-4FA6-4085-9B73-E52B39886710}">
  <ds:schemaRefs>
    <ds:schemaRef ds:uri="http://gemini/pivotcustomization/ed109a3d-abd6-4be6-8401-9877933f1317"/>
  </ds:schemaRefs>
</ds:datastoreItem>
</file>

<file path=customXml/itemProps40.xml><?xml version="1.0" encoding="utf-8"?>
<ds:datastoreItem xmlns:ds="http://schemas.openxmlformats.org/officeDocument/2006/customXml" ds:itemID="{E04E3B64-DD4D-408E-942A-1869B99ED6BE}">
  <ds:schemaRefs>
    <ds:schemaRef ds:uri="http://gemini/pivotcustomization/d99b37b3-0658-4c7d-8516-aa12e6b5dd91"/>
  </ds:schemaRefs>
</ds:datastoreItem>
</file>

<file path=customXml/itemProps41.xml><?xml version="1.0" encoding="utf-8"?>
<ds:datastoreItem xmlns:ds="http://schemas.openxmlformats.org/officeDocument/2006/customXml" ds:itemID="{ACD9A9B8-D6C3-45AD-80E9-4A8959A065ED}">
  <ds:schemaRefs>
    <ds:schemaRef ds:uri="http://gemini/pivotcustomization/TableXML_Personas-365924bf-80e0-43dd-9a52-c4cdd9a673c0"/>
  </ds:schemaRefs>
</ds:datastoreItem>
</file>

<file path=customXml/itemProps42.xml><?xml version="1.0" encoding="utf-8"?>
<ds:datastoreItem xmlns:ds="http://schemas.openxmlformats.org/officeDocument/2006/customXml" ds:itemID="{F1165AD8-C87D-4F9C-AA93-E84DF2C60259}">
  <ds:schemaRefs>
    <ds:schemaRef ds:uri="http://gemini/pivotcustomization/TableXML_Equipos-6767e17e-a2e1-4e44-ad69-e319e40e6215"/>
  </ds:schemaRefs>
</ds:datastoreItem>
</file>

<file path=customXml/itemProps43.xml><?xml version="1.0" encoding="utf-8"?>
<ds:datastoreItem xmlns:ds="http://schemas.openxmlformats.org/officeDocument/2006/customXml" ds:itemID="{1844DB7E-1F02-4298-983B-2EEEB4BFC95C}">
  <ds:schemaRefs>
    <ds:schemaRef ds:uri="http://gemini/pivotcustomization/ManualCalcMode"/>
  </ds:schemaRefs>
</ds:datastoreItem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J. Haim</dc:creator>
  <cp:keywords/>
  <dc:description/>
  <cp:lastModifiedBy>Jose Francisco Zudaire</cp:lastModifiedBy>
  <cp:revision>1</cp:revision>
  <dcterms:created xsi:type="dcterms:W3CDTF">2015-09-11T16:08:24Z</dcterms:created>
  <dcterms:modified xsi:type="dcterms:W3CDTF">2024-11-06T20:52:57Z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0x010100E0CCABF9EA204049A9D842DB30B440EC</vt:lpwstr>
  </property>
  <property fmtid="{D5CDD505-2E9C-101B-9397-08002B2CF9AE}" pid="3" name="MediaServiceImageTags">
    <vt:lpwstr/>
  </property>
</Properties>
</file>